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61f12f11040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 review" sheetId="1" r:id="Rc67425ca315e496f"/>
    <x:sheet xmlns:r="http://schemas.openxmlformats.org/officeDocument/2006/relationships" name="Portfolio" sheetId="2" r:id="R649a3fdf39a345db"/>
    <x:sheet xmlns:r="http://schemas.openxmlformats.org/officeDocument/2006/relationships" name="SEFA preparation" sheetId="3" r:id="Rc18faa03dc03430f"/>
    <x:sheet xmlns:r="http://schemas.openxmlformats.org/officeDocument/2006/relationships" name="Cost allocation" sheetId="4" r:id="Rd8803810583d486c"/>
    <x:sheet xmlns:r="http://schemas.openxmlformats.org/officeDocument/2006/relationships" name="Read me" sheetId="5" r:id="R9775ead1f49c46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"/>
    <x:numFmt numFmtId="201" formatCode="#,##0.00;(#,##0.00);&quot;-&quot;"/>
    <x:numFmt numFmtId="202" formatCode="0.0%"/>
    <x:numFmt numFmtId="203" formatCode="@"/>
  </x:numFmts>
  <x:fonts count="6">
    <x:font>
      <x:sz val="11"/>
      <x:name val="Carlito"/>
    </x:font>
    <x:font>
      <x:sz val="10"/>
      <x:color rgb="FF202B36"/>
      <x:name val="Arial"/>
    </x:font>
    <x:font>
      <x:b/>
      <x:sz val="15"/>
      <x:color rgb="FF193A58"/>
      <x:name val="Arial"/>
    </x:font>
    <x:font>
      <x:sz val="10"/>
      <x:color rgb="FF1556A0"/>
      <x:name val="Arial"/>
    </x:font>
    <x:font>
      <x:b/>
      <x:sz val="10"/>
      <x:color rgb="FFFFFFFF"/>
      <x:name val="Arial"/>
    </x:font>
    <x:font>
      <x:b/>
      <x:sz val="10"/>
      <x:color rgb="FF202B3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6DA"/>
      </x:patternFill>
    </x:fill>
    <x:fill>
      <x:patternFill patternType="solid">
        <x:fgColor rgb="FF193A58"/>
      </x:patternFill>
    </x:fill>
  </x:fills>
  <x:borders count="3">
    <x:border/>
    <x:border>
      <x:bottom style="thin">
        <x:color rgb="FF193A58"/>
      </x:bottom>
    </x:border>
    <x:border>
      <x:top style="thin">
        <x:color rgb="FF8DA1B5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1" fontId="3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5" fillId="0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horizontal="right" vertical="center"/>
    </x:xf>
    <x:xf numFmtId="203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3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c7e4944ff849b6" /><Relationship Type="http://schemas.openxmlformats.org/officeDocument/2006/relationships/theme" Target="/xl/theme/theme1.xml" Id="Rc01179fd2a1b49a6" /><Relationship Type="http://schemas.openxmlformats.org/officeDocument/2006/relationships/sharedStrings" Target="/xl/sharedStrings.xml" Id="R19fe0ee444ef482c" /><Relationship Type="http://schemas.openxmlformats.org/officeDocument/2006/relationships/worksheet" Target="/xl/worksheets/sheet1.xml" Id="Rc67425ca315e496f" /><Relationship Type="http://schemas.openxmlformats.org/officeDocument/2006/relationships/worksheet" Target="/xl/worksheets/sheet2.xml" Id="R649a3fdf39a345db" /><Relationship Type="http://schemas.openxmlformats.org/officeDocument/2006/relationships/worksheet" Target="/xl/worksheets/sheet3.xml" Id="Rc18faa03dc03430f" /><Relationship Type="http://schemas.openxmlformats.org/officeDocument/2006/relationships/worksheet" Target="/xl/worksheets/sheet4.xml" Id="Rd8803810583d486c" /><Relationship Type="http://schemas.openxmlformats.org/officeDocument/2006/relationships/worksheet" Target="/xl/worksheets/sheet5.xml" Id="R9775ead1f49c46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3A5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3" t="str">
        <x:v>Award budget review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3" customHeight="1">
      <x:c r="A4" s="2" t="str">
        <x:v>Award ID</x:v>
      </x:c>
      <x:c r="B4" s="6" t="str">
        <x:v>SYN-001</x:v>
      </x:c>
      <x:c r="C4" s="2"/>
      <x:c r="D4" s="2" t="str">
        <x:v>As of</x:v>
      </x:c>
      <x:c r="E4" s="7" t="n">
        <x:v>46295</x:v>
      </x:c>
      <x:c r="F4" s="2"/>
      <x:c r="G4" s="2"/>
      <x:c r="H4" s="2"/>
      <x:c r="I4" s="2"/>
    </x:row>
    <x:row r="5" ht="23" customHeight="1">
      <x:c r="A5" s="2" t="str">
        <x:v>Budget start</x:v>
      </x:c>
      <x:c r="B5" s="7" t="n">
        <x:v>46023</x:v>
      </x:c>
      <x:c r="C5" s="2"/>
      <x:c r="D5" s="2" t="str">
        <x:v>Budget end</x:v>
      </x:c>
      <x:c r="E5" s="7" t="n">
        <x:v>46752</x:v>
      </x:c>
      <x:c r="F5" s="2"/>
      <x:c r="G5" s="2"/>
      <x:c r="H5" s="2"/>
      <x:c r="I5" s="2"/>
    </x:row>
    <x:row r="6" ht="23" customHeight="1">
      <x:c r="A6" s="2" t="str">
        <x:v>Accounting basis</x:v>
      </x:c>
      <x:c r="B6" s="6" t="str">
        <x:v>Accrual</x:v>
      </x:c>
      <x:c r="C6" s="2"/>
      <x:c r="D6" s="2" t="str">
        <x:v>Scope</x:v>
      </x:c>
      <x:c r="E6" s="6" t="str">
        <x:v>Federal share only</x:v>
      </x:c>
      <x:c r="F6" s="2"/>
      <x:c r="G6" s="2"/>
      <x:c r="H6" s="2"/>
      <x:c r="I6" s="2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23" customHeight="1">
      <x:c r="A8" s="2" t="str">
        <x:v>Approved budget</x:v>
      </x:c>
      <x:c r="B8" s="15" t="n">
        <x:f>B19</x:f>
        <x:v>200000</x:v>
      </x:c>
      <x:c r="C8" s="2"/>
      <x:c r="D8" s="2" t="str">
        <x:v>Actuals to date</x:v>
      </x:c>
      <x:c r="E8" s="15" t="n">
        <x:f>C19</x:f>
        <x:v>50000</x:v>
      </x:c>
      <x:c r="F8" s="2"/>
      <x:c r="G8" s="2" t="str">
        <x:v>Open obligations</x:v>
      </x:c>
      <x:c r="H8" s="15" t="n">
        <x:f>D19</x:f>
        <x:v>20000</x:v>
      </x:c>
      <x:c r="I8" s="2"/>
    </x:row>
    <x:row r="9" ht="23" customHeight="1">
      <x:c r="A9" s="2" t="str">
        <x:v>Forecast total</x:v>
      </x:c>
      <x:c r="B9" s="15" t="n">
        <x:f>G19</x:f>
        <x:v>184500</x:v>
      </x:c>
      <x:c r="C9" s="2"/>
      <x:c r="D9" s="2" t="str">
        <x:v>Balance after obligations</x:v>
      </x:c>
      <x:c r="E9" s="15" t="n">
        <x:f>F19</x:f>
        <x:v>130000</x:v>
      </x:c>
      <x:c r="F9" s="2"/>
      <x:c r="G9" s="2" t="str">
        <x:v>Forecast headroom</x:v>
      </x:c>
      <x:c r="H9" s="15" t="n">
        <x:f>H19</x:f>
        <x:v>15500</x:v>
      </x:c>
      <x:c r="I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44" customHeight="1">
      <x:c r="A12" s="11" t="str">
        <x:v>Cost category</x:v>
      </x:c>
      <x:c r="B12" s="11" t="str">
        <x:v>Approved budget</x:v>
      </x:c>
      <x:c r="C12" s="11" t="str">
        <x:v>Actuals to date</x:v>
      </x:c>
      <x:c r="D12" s="11" t="str">
        <x:v>Open obligations</x:v>
      </x:c>
      <x:c r="E12" s="11" t="str">
        <x:v>Uncommitted forecast</x:v>
      </x:c>
      <x:c r="F12" s="11" t="str">
        <x:v>Balance after obligations</x:v>
      </x:c>
      <x:c r="G12" s="11" t="str">
        <x:v>Forecast total</x:v>
      </x:c>
      <x:c r="H12" s="11" t="str">
        <x:v>Forecast headroom</x:v>
      </x:c>
      <x:c r="I12" s="11" t="str">
        <x:v>Actual budget used</x:v>
      </x:c>
    </x:row>
    <x:row r="13" ht="23" customHeight="1">
      <x:c r="A13" s="6" t="str">
        <x:v>Personnel</x:v>
      </x:c>
      <x:c r="B13" s="14" t="n">
        <x:v>100000</x:v>
      </x:c>
      <x:c r="C13" s="14" t="n">
        <x:v>25000</x:v>
      </x:c>
      <x:c r="D13" s="14" t="n">
        <x:v>8000</x:v>
      </x:c>
      <x:c r="E13" s="14" t="n">
        <x:v>62000</x:v>
      </x:c>
      <x:c r="F13" s="15" t="n">
        <x:f>IF(A13="","",IF(COUNT(B13:D13)&lt;3,"Missing input",B13-C13-D13))</x:f>
        <x:v>67000</x:v>
      </x:c>
      <x:c r="G13" s="15" t="n">
        <x:f>IF(A13="","",IF(COUNT(C13:E13)&lt;3,"Missing input",SUM(C13:E13)))</x:f>
        <x:v>95000</x:v>
      </x:c>
      <x:c r="H13" s="15" t="n">
        <x:f>IF(A13="","",IF(COUNT(B13:E13)&lt;4,"Missing input",B13-G13))</x:f>
        <x:v>5000</x:v>
      </x:c>
      <x:c r="I13" s="16" t="n">
        <x:f>IF(A13="","",IF(COUNT(B13:C13)&lt;2,"Missing input",IF(B13=0,"n.a.",C13/B13)))</x:f>
        <x:v>0.25</x:v>
      </x:c>
    </x:row>
    <x:row r="14" ht="23" customHeight="1">
      <x:c r="A14" s="6" t="str">
        <x:v>Fringe</x:v>
      </x:c>
      <x:c r="B14" s="14" t="n">
        <x:v>30000</x:v>
      </x:c>
      <x:c r="C14" s="14" t="n">
        <x:v>7500</x:v>
      </x:c>
      <x:c r="D14" s="14" t="n">
        <x:v>2400</x:v>
      </x:c>
      <x:c r="E14" s="14" t="n">
        <x:v>18600</x:v>
      </x:c>
      <x:c r="F14" s="15" t="n">
        <x:f>IF(A14="","",IF(COUNT(B14:D14)&lt;3,"Missing input",B14-C14-D14))</x:f>
        <x:v>20100</x:v>
      </x:c>
      <x:c r="G14" s="15" t="n">
        <x:f>IF(A14="","",IF(COUNT(C14:E14)&lt;3,"Missing input",SUM(C14:E14)))</x:f>
        <x:v>28500</x:v>
      </x:c>
      <x:c r="H14" s="15" t="n">
        <x:f>IF(A14="","",IF(COUNT(B14:E14)&lt;4,"Missing input",B14-G14))</x:f>
        <x:v>1500</x:v>
      </x:c>
      <x:c r="I14" s="16" t="n">
        <x:f>IF(A14="","",IF(COUNT(B14:C14)&lt;2,"Missing input",IF(B14=0,"n.a.",C14/B14)))</x:f>
        <x:v>0.25</x:v>
      </x:c>
    </x:row>
    <x:row r="15" ht="23" customHeight="1">
      <x:c r="A15" s="6" t="str">
        <x:v>Travel</x:v>
      </x:c>
      <x:c r="B15" s="14" t="n">
        <x:v>10000</x:v>
      </x:c>
      <x:c r="C15" s="14" t="n">
        <x:v>3000</x:v>
      </x:c>
      <x:c r="D15" s="14" t="n">
        <x:v>4000</x:v>
      </x:c>
      <x:c r="E15" s="14" t="n">
        <x:v>2500</x:v>
      </x:c>
      <x:c r="F15" s="15" t="n">
        <x:f>IF(A15="","",IF(COUNT(B15:D15)&lt;3,"Missing input",B15-C15-D15))</x:f>
        <x:v>3000</x:v>
      </x:c>
      <x:c r="G15" s="15" t="n">
        <x:f>IF(A15="","",IF(COUNT(C15:E15)&lt;3,"Missing input",SUM(C15:E15)))</x:f>
        <x:v>9500</x:v>
      </x:c>
      <x:c r="H15" s="15" t="n">
        <x:f>IF(A15="","",IF(COUNT(B15:E15)&lt;4,"Missing input",B15-G15))</x:f>
        <x:v>500</x:v>
      </x:c>
      <x:c r="I15" s="16" t="n">
        <x:f>IF(A15="","",IF(COUNT(B15:C15)&lt;2,"Missing input",IF(B15=0,"n.a.",C15/B15)))</x:f>
        <x:v>0.3</x:v>
      </x:c>
    </x:row>
    <x:row r="16" ht="23" customHeight="1">
      <x:c r="A16" s="6" t="str">
        <x:v>Supplies</x:v>
      </x:c>
      <x:c r="B16" s="14" t="n">
        <x:v>15000</x:v>
      </x:c>
      <x:c r="C16" s="14" t="n">
        <x:v>6000</x:v>
      </x:c>
      <x:c r="D16" s="14" t="n">
        <x:v>1600</x:v>
      </x:c>
      <x:c r="E16" s="14" t="n">
        <x:v>6400</x:v>
      </x:c>
      <x:c r="F16" s="15" t="n">
        <x:f>IF(A16="","",IF(COUNT(B16:D16)&lt;3,"Missing input",B16-C16-D16))</x:f>
        <x:v>7400</x:v>
      </x:c>
      <x:c r="G16" s="15" t="n">
        <x:f>IF(A16="","",IF(COUNT(C16:E16)&lt;3,"Missing input",SUM(C16:E16)))</x:f>
        <x:v>14000</x:v>
      </x:c>
      <x:c r="H16" s="15" t="n">
        <x:f>IF(A16="","",IF(COUNT(B16:E16)&lt;4,"Missing input",B16-G16))</x:f>
        <x:v>1000</x:v>
      </x:c>
      <x:c r="I16" s="16" t="n">
        <x:f>IF(A16="","",IF(COUNT(B16:C16)&lt;2,"Missing input",IF(B16=0,"n.a.",C16/B16)))</x:f>
        <x:v>0.4</x:v>
      </x:c>
    </x:row>
    <x:row r="17" ht="23" customHeight="1">
      <x:c r="A17" s="6" t="str">
        <x:v>Subawards</x:v>
      </x:c>
      <x:c r="B17" s="14" t="n">
        <x:v>30000</x:v>
      </x:c>
      <x:c r="C17" s="14" t="n">
        <x:v>5000</x:v>
      </x:c>
      <x:c r="D17" s="14" t="n">
        <x:v>4000</x:v>
      </x:c>
      <x:c r="E17" s="14" t="n">
        <x:v>18000</x:v>
      </x:c>
      <x:c r="F17" s="15" t="n">
        <x:f>IF(A17="","",IF(COUNT(B17:D17)&lt;3,"Missing input",B17-C17-D17))</x:f>
        <x:v>21000</x:v>
      </x:c>
      <x:c r="G17" s="15" t="n">
        <x:f>IF(A17="","",IF(COUNT(C17:E17)&lt;3,"Missing input",SUM(C17:E17)))</x:f>
        <x:v>27000</x:v>
      </x:c>
      <x:c r="H17" s="15" t="n">
        <x:f>IF(A17="","",IF(COUNT(B17:E17)&lt;4,"Missing input",B17-G17))</x:f>
        <x:v>3000</x:v>
      </x:c>
      <x:c r="I17" s="16" t="n">
        <x:f>IF(A17="","",IF(COUNT(B17:C17)&lt;2,"Missing input",IF(B17=0,"n.a.",C17/B17)))</x:f>
        <x:v>0.16666666666666666</x:v>
      </x:c>
    </x:row>
    <x:row r="18" ht="23" customHeight="1">
      <x:c r="A18" s="6" t="str">
        <x:v>Indirect costs</x:v>
      </x:c>
      <x:c r="B18" s="14" t="n">
        <x:v>15000</x:v>
      </x:c>
      <x:c r="C18" s="14" t="n">
        <x:v>3500</x:v>
      </x:c>
      <x:c r="D18" s="14" t="n">
        <x:v>0</x:v>
      </x:c>
      <x:c r="E18" s="14" t="n">
        <x:v>7000</x:v>
      </x:c>
      <x:c r="F18" s="15" t="n">
        <x:f>IF(A18="","",IF(COUNT(B18:D18)&lt;3,"Missing input",B18-C18-D18))</x:f>
        <x:v>11500</x:v>
      </x:c>
      <x:c r="G18" s="15" t="n">
        <x:f>IF(A18="","",IF(COUNT(C18:E18)&lt;3,"Missing input",SUM(C18:E18)))</x:f>
        <x:v>10500</x:v>
      </x:c>
      <x:c r="H18" s="15" t="n">
        <x:f>IF(A18="","",IF(COUNT(B18:E18)&lt;4,"Missing input",B18-G18))</x:f>
        <x:v>4500</x:v>
      </x:c>
      <x:c r="I18" s="16" t="n">
        <x:f>IF(A18="","",IF(COUNT(B18:C18)&lt;2,"Missing input",IF(B18=0,"n.a.",C18/B18)))</x:f>
        <x:v>0.23333333333333334</x:v>
      </x:c>
    </x:row>
    <x:row r="19" ht="23" customHeight="1">
      <x:c r="A19" s="19" t="str">
        <x:v>Total</x:v>
      </x:c>
      <x:c r="B19" s="20" t="n">
        <x:f>IF(COUNT(B13:B18)&lt;&gt;COUNTA($A$13:$A$18),"Missing input",SUM(B13:B18))</x:f>
        <x:v>200000</x:v>
      </x:c>
      <x:c r="C19" s="20" t="n">
        <x:f>IF(COUNT(C13:C18)&lt;&gt;COUNTA($A$13:$A$18),"Missing input",SUM(C13:C18))</x:f>
        <x:v>50000</x:v>
      </x:c>
      <x:c r="D19" s="20" t="n">
        <x:f>IF(COUNT(D13:D18)&lt;&gt;COUNTA($A$13:$A$18),"Missing input",SUM(D13:D18))</x:f>
        <x:v>20000</x:v>
      </x:c>
      <x:c r="E19" s="20" t="n">
        <x:f>IF(COUNT(E13:E18)&lt;&gt;COUNTA($A$13:$A$18),"Missing input",SUM(E13:E18))</x:f>
        <x:v>114500</x:v>
      </x:c>
      <x:c r="F19" s="20" t="n">
        <x:f>IF(COUNT(F13:F18)&lt;&gt;COUNTA($A$13:$A$18),"Missing input",SUM(F13:F18))</x:f>
        <x:v>130000</x:v>
      </x:c>
      <x:c r="G19" s="20" t="n">
        <x:f>IF(COUNT(G13:G18)&lt;&gt;COUNTA($A$13:$A$18),"Missing input",SUM(G13:G18))</x:f>
        <x:v>184500</x:v>
      </x:c>
      <x:c r="H19" s="20" t="n">
        <x:f>IF(COUNT(H13:H18)&lt;&gt;COUNTA($A$13:$A$18),"Missing input",SUM(H13:H18))</x:f>
        <x:v>15500</x:v>
      </x:c>
      <x:c r="I19" s="19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3" customHeight="1">
      <x:c r="A21" s="2" t="str">
        <x:v>Forecast includes open obligations. Uncommitted forecast excludes those obligations.</x:v>
      </x:c>
      <x:c r="B21" s="2"/>
      <x:c r="C21" s="2"/>
      <x:c r="D21" s="2"/>
      <x:c r="E21" s="2"/>
      <x:c r="F21" s="2"/>
      <x:c r="G21" s="2"/>
      <x:c r="H21" s="2"/>
      <x:c r="I21" s="2"/>
    </x:row>
    <x:row r="22" ht="23" customHeight="1">
      <x:c r="A22" s="2" t="str">
        <x:v>All amounts are USD. Whole authorized budget compared with actuals for the same budget period.</x:v>
      </x:c>
      <x:c r="B22" s="2"/>
      <x:c r="C22" s="2"/>
      <x:c r="D22" s="2"/>
      <x:c r="E22" s="2"/>
      <x:c r="F22" s="2"/>
      <x:c r="G22" s="2"/>
      <x:c r="H22" s="2"/>
      <x:c r="I22" s="2"/>
    </x:row>
    <x:row r="23" ht="23" customHeight="1">
      <x:c r="A23" s="2" t="str">
        <x:v>Blue text and pale yellow fill indicate inputs. Examples are entirely synthetic.</x:v>
      </x:c>
      <x:c r="B23" s="2"/>
      <x:c r="C23" s="2"/>
      <x:c r="D23" s="2"/>
      <x:c r="E23" s="2"/>
      <x:c r="F23" s="2"/>
      <x:c r="G23" s="2"/>
      <x:c r="H23" s="2"/>
      <x:c r="I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3" customHeight="1">
      <x:c r="A25" s="2" t="str">
        <x:v>Source: synthetic data. Financial management: https://www.ecfr.gov/current/title-2/section-200.302</x:v>
      </x:c>
      <x:c r="B25" s="2"/>
      <x:c r="C25" s="2"/>
      <x:c r="D25" s="2"/>
      <x:c r="E25" s="2"/>
      <x:c r="F25" s="2"/>
      <x:c r="G25" s="2"/>
      <x:c r="H25" s="2"/>
      <x:c r="I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</x:row>
  </x:sheetData>
  <x:conditionalFormatting sqref="F13:F18">
    <x:cfRule type="cellIs" dxfId="0" priority="1" operator="lessThan">
      <x:formula>0</x:formula>
    </x:cfRule>
  </x:conditionalFormatting>
  <x:conditionalFormatting sqref="H13:H18">
    <x:cfRule type="cellIs" dxfId="1" priority="2" operator="lessThan">
      <x:formula>0</x:formula>
    </x:cfRule>
  </x:conditionalFormatting>
  <x:conditionalFormatting sqref="F13:I19">
    <x:cfRule type="containsText" dxfId="2" priority="3" operator="containsText" text="Missing input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Grant portfolio balances</x:v>
      </x:c>
      <x:c r="B2" s="2"/>
      <x:c r="C2" s="2"/>
      <x:c r="D2" s="2"/>
      <x:c r="E2" s="2"/>
      <x:c r="F2" s="2"/>
      <x:c r="G2" s="2"/>
    </x:row>
    <x:row r="3" ht="23" customHeight="1">
      <x:c r="A3" s="4"/>
      <x:c r="B3" s="4"/>
      <x:c r="C3" s="4"/>
      <x:c r="D3" s="4"/>
      <x:c r="E3" s="4"/>
      <x:c r="F3" s="4"/>
      <x:c r="G3" s="4"/>
    </x:row>
    <x:row r="4" ht="23" customHeight="1">
      <x:c r="A4" s="2" t="str">
        <x:v>As of</x:v>
      </x:c>
      <x:c r="B4" s="7" t="n">
        <x:v>46295</x:v>
      </x:c>
      <x:c r="C4" s="2"/>
      <x:c r="D4" s="2"/>
      <x:c r="E4" s="2"/>
      <x:c r="F4" s="2"/>
      <x:c r="G4" s="2"/>
    </x:row>
    <x:row r="5" ht="23" customHeight="1">
      <x:c r="A5" s="2" t="str">
        <x:v>Scope: federal share only. No pending proposals or unfunded options included.</x:v>
      </x:c>
      <x:c r="B5" s="2"/>
      <x:c r="C5" s="2"/>
      <x:c r="D5" s="2"/>
      <x:c r="E5" s="2"/>
      <x:c r="F5" s="2"/>
      <x:c r="G5" s="2"/>
    </x:row>
    <x:row r="6" ht="23" customHeight="1">
      <x:c r="A6" s="2"/>
      <x:c r="B6" s="2"/>
      <x:c r="C6" s="2"/>
      <x:c r="D6" s="2"/>
      <x:c r="E6" s="2"/>
      <x:c r="F6" s="2"/>
      <x:c r="G6" s="2"/>
    </x:row>
    <x:row r="7" ht="44" customHeight="1">
      <x:c r="A7" s="11" t="str">
        <x:v>Award ID</x:v>
      </x:c>
      <x:c r="B7" s="11" t="str">
        <x:v>Authorized funding</x:v>
      </x:c>
      <x:c r="C7" s="11" t="str">
        <x:v>Actuals to date</x:v>
      </x:c>
      <x:c r="D7" s="11" t="str">
        <x:v>Open obligations</x:v>
      </x:c>
      <x:c r="E7" s="11" t="str">
        <x:v>Balance after obligations</x:v>
      </x:c>
      <x:c r="F7" s="11" t="str">
        <x:v>Forecast total</x:v>
      </x:c>
      <x:c r="G7" s="11" t="str">
        <x:v>Forecast headroom</x:v>
      </x:c>
    </x:row>
    <x:row r="8" ht="23" customHeight="1">
      <x:c r="A8" s="6" t="str">
        <x:v>SYN-001</x:v>
      </x:c>
      <x:c r="B8" s="14" t="n">
        <x:v>200000</x:v>
      </x:c>
      <x:c r="C8" s="14" t="n">
        <x:v>50000</x:v>
      </x:c>
      <x:c r="D8" s="14" t="n">
        <x:v>20000</x:v>
      </x:c>
      <x:c r="E8" s="15" t="n">
        <x:f>IF(A8="","",IF(COUNT(B8:D8)&lt;3,"Missing input",B8-C8-D8))</x:f>
        <x:v>130000</x:v>
      </x:c>
      <x:c r="F8" s="14" t="n">
        <x:v>184500</x:v>
      </x:c>
      <x:c r="G8" s="15" t="n">
        <x:f>IF(A8="","",IF(COUNT(B8,F8)&lt;2,"Missing input",B8-F8))</x:f>
        <x:v>15500</x:v>
      </x:c>
    </x:row>
    <x:row r="9" ht="23" customHeight="1">
      <x:c r="A9" s="6" t="str">
        <x:v>SYN-002</x:v>
      </x:c>
      <x:c r="B9" s="14" t="n">
        <x:v>150000</x:v>
      </x:c>
      <x:c r="C9" s="14" t="n">
        <x:v>100000</x:v>
      </x:c>
      <x:c r="D9" s="14" t="n">
        <x:v>10000</x:v>
      </x:c>
      <x:c r="E9" s="15" t="n">
        <x:f>IF(A9="","",IF(COUNT(B9:D9)&lt;3,"Missing input",B9-C9-D9))</x:f>
        <x:v>40000</x:v>
      </x:c>
      <x:c r="F9" s="14" t="n">
        <x:v>145000</x:v>
      </x:c>
      <x:c r="G9" s="15" t="n">
        <x:f>IF(A9="","",IF(COUNT(B9,F9)&lt;2,"Missing input",B9-F9))</x:f>
        <x:v>5000</x:v>
      </x:c>
    </x:row>
    <x:row r="10" ht="23" customHeight="1">
      <x:c r="A10" s="6" t="str">
        <x:v>SYN-003</x:v>
      </x:c>
      <x:c r="B10" s="14" t="n">
        <x:v>80000</x:v>
      </x:c>
      <x:c r="C10" s="14" t="n">
        <x:v>76000</x:v>
      </x:c>
      <x:c r="D10" s="14" t="n">
        <x:v>6000</x:v>
      </x:c>
      <x:c r="E10" s="15" t="n">
        <x:f>IF(A10="","",IF(COUNT(B10:D10)&lt;3,"Missing input",B10-C10-D10))</x:f>
        <x:v>-2000</x:v>
      </x:c>
      <x:c r="F10" s="14" t="n">
        <x:v>85000</x:v>
      </x:c>
      <x:c r="G10" s="15" t="n">
        <x:f>IF(A10="","",IF(COUNT(B10,F10)&lt;2,"Missing input",B10-F10))</x:f>
        <x:v>-5000</x:v>
      </x:c>
    </x:row>
    <x:row r="11" ht="23" customHeight="1">
      <x:c r="A11" s="6"/>
      <x:c r="B11" s="14"/>
      <x:c r="C11" s="14"/>
      <x:c r="D11" s="14"/>
      <x:c r="E11" s="15" t="str">
        <x:f>IF(A11="","",IF(COUNT(B11:D11)&lt;3,"Missing input",B11-C11-D11))</x:f>
      </x:c>
      <x:c r="F11" s="14"/>
      <x:c r="G11" s="15" t="str">
        <x:f>IF(A11="","",IF(COUNT(B11,F11)&lt;2,"Missing input",B11-F11))</x:f>
      </x:c>
    </x:row>
    <x:row r="12" ht="23" customHeight="1">
      <x:c r="A12" s="6"/>
      <x:c r="B12" s="14"/>
      <x:c r="C12" s="14"/>
      <x:c r="D12" s="14"/>
      <x:c r="E12" s="15" t="str">
        <x:f>IF(A12="","",IF(COUNT(B12:D12)&lt;3,"Missing input",B12-C12-D12))</x:f>
      </x:c>
      <x:c r="F12" s="14"/>
      <x:c r="G12" s="15" t="str">
        <x:f>IF(A12="","",IF(COUNT(B12,F12)&lt;2,"Missing input",B12-F12))</x:f>
      </x:c>
    </x:row>
    <x:row r="13" ht="23" customHeight="1">
      <x:c r="A13" s="6"/>
      <x:c r="B13" s="14"/>
      <x:c r="C13" s="14"/>
      <x:c r="D13" s="14"/>
      <x:c r="E13" s="15" t="str">
        <x:f>IF(A13="","",IF(COUNT(B13:D13)&lt;3,"Missing input",B13-C13-D13))</x:f>
      </x:c>
      <x:c r="F13" s="14"/>
      <x:c r="G13" s="15" t="str">
        <x:f>IF(A13="","",IF(COUNT(B13,F13)&lt;2,"Missing input",B13-F13))</x:f>
      </x:c>
    </x:row>
    <x:row r="14" ht="23" customHeight="1">
      <x:c r="A14" s="6"/>
      <x:c r="B14" s="14"/>
      <x:c r="C14" s="14"/>
      <x:c r="D14" s="14"/>
      <x:c r="E14" s="15" t="str">
        <x:f>IF(A14="","",IF(COUNT(B14:D14)&lt;3,"Missing input",B14-C14-D14))</x:f>
      </x:c>
      <x:c r="F14" s="14"/>
      <x:c r="G14" s="15" t="str">
        <x:f>IF(A14="","",IF(COUNT(B14,F14)&lt;2,"Missing input",B14-F14))</x:f>
      </x:c>
    </x:row>
    <x:row r="15" ht="23" customHeight="1">
      <x:c r="A15" s="6"/>
      <x:c r="B15" s="14"/>
      <x:c r="C15" s="14"/>
      <x:c r="D15" s="14"/>
      <x:c r="E15" s="15" t="str">
        <x:f>IF(A15="","",IF(COUNT(B15:D15)&lt;3,"Missing input",B15-C15-D15))</x:f>
      </x:c>
      <x:c r="F15" s="14"/>
      <x:c r="G15" s="15" t="str">
        <x:f>IF(A15="","",IF(COUNT(B15,F15)&lt;2,"Missing input",B15-F15))</x:f>
      </x:c>
    </x:row>
    <x:row r="16" ht="23" customHeight="1">
      <x:c r="A16" s="6"/>
      <x:c r="B16" s="14"/>
      <x:c r="C16" s="14"/>
      <x:c r="D16" s="14"/>
      <x:c r="E16" s="15" t="str">
        <x:f>IF(A16="","",IF(COUNT(B16:D16)&lt;3,"Missing input",B16-C16-D16))</x:f>
      </x:c>
      <x:c r="F16" s="14"/>
      <x:c r="G16" s="15" t="str">
        <x:f>IF(A16="","",IF(COUNT(B16,F16)&lt;2,"Missing input",B16-F16))</x:f>
      </x:c>
    </x:row>
    <x:row r="17" ht="23" customHeight="1">
      <x:c r="A17" s="6"/>
      <x:c r="B17" s="14"/>
      <x:c r="C17" s="14"/>
      <x:c r="D17" s="14"/>
      <x:c r="E17" s="15" t="str">
        <x:f>IF(A17="","",IF(COUNT(B17:D17)&lt;3,"Missing input",B17-C17-D17))</x:f>
      </x:c>
      <x:c r="F17" s="14"/>
      <x:c r="G17" s="15" t="str">
        <x:f>IF(A17="","",IF(COUNT(B17,F17)&lt;2,"Missing input",B17-F17))</x:f>
      </x:c>
    </x:row>
    <x:row r="18" ht="23" customHeight="1">
      <x:c r="A18" s="6"/>
      <x:c r="B18" s="14"/>
      <x:c r="C18" s="14"/>
      <x:c r="D18" s="14"/>
      <x:c r="E18" s="15" t="str">
        <x:f>IF(A18="","",IF(COUNT(B18:D18)&lt;3,"Missing input",B18-C18-D18))</x:f>
      </x:c>
      <x:c r="F18" s="14"/>
      <x:c r="G18" s="15" t="str">
        <x:f>IF(A18="","",IF(COUNT(B18,F18)&lt;2,"Missing input",B18-F18))</x:f>
      </x:c>
    </x:row>
    <x:row r="19" ht="23" customHeight="1">
      <x:c r="A19" s="6"/>
      <x:c r="B19" s="14"/>
      <x:c r="C19" s="14"/>
      <x:c r="D19" s="14"/>
      <x:c r="E19" s="15" t="str">
        <x:f>IF(A19="","",IF(COUNT(B19:D19)&lt;3,"Missing input",B19-C19-D19))</x:f>
      </x:c>
      <x:c r="F19" s="14"/>
      <x:c r="G19" s="15" t="str">
        <x:f>IF(A19="","",IF(COUNT(B19,F19)&lt;2,"Missing input",B19-F19))</x:f>
      </x:c>
    </x:row>
    <x:row r="20" ht="23" customHeight="1">
      <x:c r="A20" s="6"/>
      <x:c r="B20" s="14"/>
      <x:c r="C20" s="14"/>
      <x:c r="D20" s="14"/>
      <x:c r="E20" s="15" t="str">
        <x:f>IF(A20="","",IF(COUNT(B20:D20)&lt;3,"Missing input",B20-C20-D20))</x:f>
      </x:c>
      <x:c r="F20" s="14"/>
      <x:c r="G20" s="15" t="str">
        <x:f>IF(A20="","",IF(COUNT(B20,F20)&lt;2,"Missing input",B20-F20))</x:f>
      </x:c>
    </x:row>
    <x:row r="21" ht="23" customHeight="1">
      <x:c r="A21" s="6"/>
      <x:c r="B21" s="14"/>
      <x:c r="C21" s="14"/>
      <x:c r="D21" s="14"/>
      <x:c r="E21" s="15" t="str">
        <x:f>IF(A21="","",IF(COUNT(B21:D21)&lt;3,"Missing input",B21-C21-D21))</x:f>
      </x:c>
      <x:c r="F21" s="14"/>
      <x:c r="G21" s="15" t="str">
        <x:f>IF(A21="","",IF(COUNT(B21,F21)&lt;2,"Missing input",B21-F21))</x:f>
      </x:c>
    </x:row>
    <x:row r="22" ht="23" customHeight="1">
      <x:c r="A22" s="6"/>
      <x:c r="B22" s="14"/>
      <x:c r="C22" s="14"/>
      <x:c r="D22" s="14"/>
      <x:c r="E22" s="15" t="str">
        <x:f>IF(A22="","",IF(COUNT(B22:D22)&lt;3,"Missing input",B22-C22-D22))</x:f>
      </x:c>
      <x:c r="F22" s="14"/>
      <x:c r="G22" s="15" t="str">
        <x:f>IF(A22="","",IF(COUNT(B22,F22)&lt;2,"Missing input",B22-F22))</x:f>
      </x:c>
    </x:row>
    <x:row r="23" ht="23" customHeight="1">
      <x:c r="A23" s="2"/>
      <x:c r="B23" s="15"/>
      <x:c r="C23" s="15"/>
      <x:c r="D23" s="15"/>
      <x:c r="E23" s="15"/>
      <x:c r="F23" s="15"/>
      <x:c r="G23" s="15"/>
    </x:row>
    <x:row r="24" ht="23" customHeight="1">
      <x:c r="A24" s="17" t="str">
        <x:v>Total</x:v>
      </x:c>
      <x:c r="B24" s="18" t="n">
        <x:f>IF(COUNT(B8:B22)&lt;&gt;COUNTA($A$8:$A$22),"Missing input",SUM(B8:B22))</x:f>
        <x:v>430000</x:v>
      </x:c>
      <x:c r="C24" s="18" t="n">
        <x:f>IF(COUNT(C8:C22)&lt;&gt;COUNTA($A$8:$A$22),"Missing input",SUM(C8:C22))</x:f>
        <x:v>226000</x:v>
      </x:c>
      <x:c r="D24" s="18" t="n">
        <x:f>IF(COUNT(D8:D22)&lt;&gt;COUNTA($A$8:$A$22),"Missing input",SUM(D8:D22))</x:f>
        <x:v>36000</x:v>
      </x:c>
      <x:c r="E24" s="18" t="n">
        <x:f>IF(COUNT(E8:E22)&lt;&gt;COUNTA($A$8:$A$22),"Missing input",SUM(E8:E22))</x:f>
        <x:v>168000</x:v>
      </x:c>
      <x:c r="F24" s="18" t="n">
        <x:f>IF(COUNT(F8:F22)&lt;&gt;COUNTA($A$8:$A$22),"Missing input",SUM(F8:F22))</x:f>
        <x:v>414500</x:v>
      </x:c>
      <x:c r="G24" s="18" t="n">
        <x:f>IF(COUNT(G8:G22)&lt;&gt;COUNTA($A$8:$A$22),"Missing input",SUM(G8:G22))</x:f>
        <x:v>15500</x:v>
      </x:c>
    </x:row>
    <x:row r="25" ht="23" customHeight="1">
      <x:c r="A25" s="2"/>
      <x:c r="B25" s="2"/>
      <x:c r="C25" s="2"/>
      <x:c r="D25" s="2"/>
      <x:c r="E25" s="2"/>
      <x:c r="F25" s="2"/>
      <x:c r="G25" s="2"/>
    </x:row>
    <x:row r="26" ht="23" customHeight="1">
      <x:c r="A26" s="2" t="str">
        <x:v>Use one row per award. Retain full award metadata in the award register.</x:v>
      </x:c>
      <x:c r="B26" s="2"/>
      <x:c r="C26" s="2"/>
      <x:c r="D26" s="2"/>
      <x:c r="E26" s="2"/>
      <x:c r="F26" s="2"/>
      <x:c r="G26" s="2"/>
    </x:row>
    <x:row r="27" ht="23" customHeight="1">
      <x:c r="A27" s="2" t="str">
        <x:v>Negative balances indicate a funding or forecast issue, not a legal compliance determination.</x:v>
      </x:c>
      <x:c r="B27" s="2"/>
      <x:c r="C27" s="2"/>
      <x:c r="D27" s="2"/>
      <x:c r="E27" s="2"/>
      <x:c r="F27" s="2"/>
      <x:c r="G27" s="2"/>
    </x:row>
    <x:row r="28" ht="23" customHeight="1">
      <x:c r="A28" s="2"/>
      <x:c r="B28" s="2"/>
      <x:c r="C28" s="2"/>
      <x:c r="D28" s="2"/>
      <x:c r="E28" s="2"/>
      <x:c r="F28" s="2"/>
      <x:c r="G28" s="2"/>
    </x:row>
    <x:row r="29" ht="23" customHeight="1">
      <x:c r="A29" s="2" t="str">
        <x:v>Source: synthetic data. Required metadata: https://www.ecfr.gov/current/title-2/section-200.302</x:v>
      </x:c>
      <x:c r="B29" s="2"/>
      <x:c r="C29" s="2"/>
      <x:c r="D29" s="2"/>
      <x:c r="E29" s="2"/>
      <x:c r="F29" s="2"/>
      <x:c r="G29" s="2"/>
    </x:row>
  </x:sheetData>
  <x:conditionalFormatting sqref="E8:E22">
    <x:cfRule type="cellIs" dxfId="3" priority="1" operator="lessThan">
      <x:formula>0</x:formula>
    </x:cfRule>
  </x:conditionalFormatting>
  <x:conditionalFormatting sqref="G8:G22">
    <x:cfRule type="cellIs" dxfId="4" priority="2" operator="lessThan">
      <x:formula>0</x:formula>
    </x:cfRule>
  </x:conditionalFormatting>
  <x:conditionalFormatting sqref="E8:G24">
    <x:cfRule type="containsText" dxfId="5" priority="3" operator="containsText" text="Missing input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3" t="str">
        <x:v>SEFA supporting schedule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3" customHeight="1">
      <x:c r="A4" s="2" t="str">
        <x:v>Reporting start</x:v>
      </x:c>
      <x:c r="B4" s="7" t="n">
        <x:v>46204</x:v>
      </x:c>
      <x:c r="C4" s="2"/>
      <x:c r="D4" s="2" t="str">
        <x:v>Reporting end</x:v>
      </x:c>
      <x:c r="E4" s="7" t="n">
        <x:v>46568</x:v>
      </x:c>
      <x:c r="F4" s="2"/>
      <x:c r="G4" s="2"/>
      <x:c r="H4" s="2"/>
      <x:c r="I4" s="2"/>
      <x:c r="J4" s="2"/>
      <x:c r="K4" s="2"/>
    </x:row>
    <x:row r="5" ht="23" customHeight="1">
      <x:c r="A5" s="2" t="str">
        <x:v>Basis</x:v>
      </x:c>
      <x:c r="B5" s="6" t="str">
        <x:v>Accrual</x:v>
      </x:c>
      <x:c r="C5" s="2"/>
      <x:c r="D5" s="2" t="str">
        <x:v>USD. Fiscal-period expenditures, not award ceilings or cash receipts.</x:v>
      </x:c>
      <x:c r="E5" s="2"/>
      <x:c r="F5" s="2"/>
      <x:c r="G5" s="2"/>
      <x:c r="H5" s="2"/>
      <x:c r="I5" s="2"/>
      <x:c r="J5" s="2"/>
      <x:c r="K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44" customHeight="1">
      <x:c r="A7" s="11" t="str">
        <x:v>Award ID</x:v>
      </x:c>
      <x:c r="B7" s="11" t="str">
        <x:v>Federal agency</x:v>
      </x:c>
      <x:c r="C7" s="11" t="str">
        <x:v>Program title</x:v>
      </x:c>
      <x:c r="D7" s="11" t="str">
        <x:v>ALN / identifier</x:v>
      </x:c>
      <x:c r="E7" s="11" t="str">
        <x:v>Cluster</x:v>
      </x:c>
      <x:c r="F7" s="11" t="str">
        <x:v>Pass-through entity</x:v>
      </x:c>
      <x:c r="G7" s="11" t="str">
        <x:v>Pass-through ID</x:v>
      </x:c>
      <x:c r="H7" s="11" t="str">
        <x:v>Own direct costs</x:v>
      </x:c>
      <x:c r="I7" s="11" t="str">
        <x:v>Indirect costs</x:v>
      </x:c>
      <x:c r="J7" s="11" t="str">
        <x:v>Provided to subrecipients</x:v>
      </x:c>
      <x:c r="K7" s="11" t="str">
        <x:v>Federal expenditures</x:v>
      </x:c>
    </x:row>
    <x:row r="8" ht="40" customHeight="1">
      <x:c r="A8" s="22" t="str">
        <x:v>SYN-001</x:v>
      </x:c>
      <x:c r="B8" s="22" t="str">
        <x:v>Example federal agency</x:v>
      </x:c>
      <x:c r="C8" s="22" t="str">
        <x:v>Synthetic research award</x:v>
      </x:c>
      <x:c r="D8" s="23" t="str">
        <x:v>SYN-ALN-01</x:v>
      </x:c>
      <x:c r="E8" s="22" t="str">
        <x:v>Synthetic R&amp;D cluster</x:v>
      </x:c>
      <x:c r="F8" s="22" t="str">
        <x:v>Not applicable</x:v>
      </x:c>
      <x:c r="G8" s="22" t="str">
        <x:v>Not applicable</x:v>
      </x:c>
      <x:c r="H8" s="14" t="n">
        <x:v>42000</x:v>
      </x:c>
      <x:c r="I8" s="14" t="n">
        <x:v>5000</x:v>
      </x:c>
      <x:c r="J8" s="14" t="n">
        <x:v>3000</x:v>
      </x:c>
      <x:c r="K8" s="15" t="n">
        <x:f>IF(A8="","",IF(COUNT(H8:J8)&lt;3,"Missing input",SUM(H8:J8)))</x:f>
        <x:v>50000</x:v>
      </x:c>
    </x:row>
    <x:row r="9" ht="40" customHeight="1">
      <x:c r="A9" s="22" t="str">
        <x:v>SYN-002</x:v>
      </x:c>
      <x:c r="B9" s="22" t="str">
        <x:v>Example federal agency</x:v>
      </x:c>
      <x:c r="C9" s="22" t="str">
        <x:v>Synthetic service award</x:v>
      </x:c>
      <x:c r="D9" s="23" t="str">
        <x:v>SYN-ALN-02</x:v>
      </x:c>
      <x:c r="E9" s="22" t="str">
        <x:v>Not applicable</x:v>
      </x:c>
      <x:c r="F9" s="22" t="str">
        <x:v>Example pass-through</x:v>
      </x:c>
      <x:c r="G9" s="22" t="str">
        <x:v>SYN-PTE-002</x:v>
      </x:c>
      <x:c r="H9" s="14" t="n">
        <x:v>64000</x:v>
      </x:c>
      <x:c r="I9" s="14" t="n">
        <x:v>6000</x:v>
      </x:c>
      <x:c r="J9" s="14" t="n">
        <x:v>10000</x:v>
      </x:c>
      <x:c r="K9" s="15" t="n">
        <x:f>IF(A9="","",IF(COUNT(H9:J9)&lt;3,"Missing input",SUM(H9:J9)))</x:f>
        <x:v>80000</x:v>
      </x:c>
    </x:row>
    <x:row r="10" ht="23" customHeight="1">
      <x:c r="A10" s="22"/>
      <x:c r="B10" s="22"/>
      <x:c r="C10" s="22"/>
      <x:c r="D10" s="23"/>
      <x:c r="E10" s="22"/>
      <x:c r="F10" s="22"/>
      <x:c r="G10" s="22"/>
      <x:c r="H10" s="14"/>
      <x:c r="I10" s="14"/>
      <x:c r="J10" s="14"/>
      <x:c r="K10" s="15" t="str">
        <x:f>IF(A10="","",IF(COUNT(H10:J10)&lt;3,"Missing input",SUM(H10:J10)))</x:f>
      </x:c>
    </x:row>
    <x:row r="11" ht="23" customHeight="1">
      <x:c r="A11" s="22"/>
      <x:c r="B11" s="22"/>
      <x:c r="C11" s="22"/>
      <x:c r="D11" s="23"/>
      <x:c r="E11" s="22"/>
      <x:c r="F11" s="22"/>
      <x:c r="G11" s="22"/>
      <x:c r="H11" s="14"/>
      <x:c r="I11" s="14"/>
      <x:c r="J11" s="14"/>
      <x:c r="K11" s="15" t="str">
        <x:f>IF(A11="","",IF(COUNT(H11:J11)&lt;3,"Missing input",SUM(H11:J11)))</x:f>
      </x:c>
    </x:row>
    <x:row r="12" ht="23" customHeight="1">
      <x:c r="A12" s="22"/>
      <x:c r="B12" s="22"/>
      <x:c r="C12" s="22"/>
      <x:c r="D12" s="23"/>
      <x:c r="E12" s="22"/>
      <x:c r="F12" s="22"/>
      <x:c r="G12" s="22"/>
      <x:c r="H12" s="14"/>
      <x:c r="I12" s="14"/>
      <x:c r="J12" s="14"/>
      <x:c r="K12" s="15" t="str">
        <x:f>IF(A12="","",IF(COUNT(H12:J12)&lt;3,"Missing input",SUM(H12:J12)))</x:f>
      </x:c>
    </x:row>
    <x:row r="13" ht="23" customHeight="1">
      <x:c r="A13" s="22"/>
      <x:c r="B13" s="22"/>
      <x:c r="C13" s="22"/>
      <x:c r="D13" s="23"/>
      <x:c r="E13" s="22"/>
      <x:c r="F13" s="22"/>
      <x:c r="G13" s="22"/>
      <x:c r="H13" s="14"/>
      <x:c r="I13" s="14"/>
      <x:c r="J13" s="14"/>
      <x:c r="K13" s="15" t="str">
        <x:f>IF(A13="","",IF(COUNT(H13:J13)&lt;3,"Missing input",SUM(H13:J13)))</x:f>
      </x:c>
    </x:row>
    <x:row r="14" ht="23" customHeight="1">
      <x:c r="A14" s="22"/>
      <x:c r="B14" s="22"/>
      <x:c r="C14" s="22"/>
      <x:c r="D14" s="23"/>
      <x:c r="E14" s="22"/>
      <x:c r="F14" s="22"/>
      <x:c r="G14" s="22"/>
      <x:c r="H14" s="14"/>
      <x:c r="I14" s="14"/>
      <x:c r="J14" s="14"/>
      <x:c r="K14" s="15" t="str">
        <x:f>IF(A14="","",IF(COUNT(H14:J14)&lt;3,"Missing input",SUM(H14:J14)))</x:f>
      </x:c>
    </x:row>
    <x:row r="15" ht="23" customHeight="1">
      <x:c r="A15" s="22"/>
      <x:c r="B15" s="22"/>
      <x:c r="C15" s="22"/>
      <x:c r="D15" s="23"/>
      <x:c r="E15" s="22"/>
      <x:c r="F15" s="22"/>
      <x:c r="G15" s="22"/>
      <x:c r="H15" s="14"/>
      <x:c r="I15" s="14"/>
      <x:c r="J15" s="14"/>
      <x:c r="K15" s="15" t="str">
        <x:f>IF(A15="","",IF(COUNT(H15:J15)&lt;3,"Missing input",SUM(H15:J15)))</x:f>
      </x:c>
    </x:row>
    <x:row r="16" ht="23" customHeight="1">
      <x:c r="A16" s="22"/>
      <x:c r="B16" s="22"/>
      <x:c r="C16" s="22"/>
      <x:c r="D16" s="23"/>
      <x:c r="E16" s="22"/>
      <x:c r="F16" s="22"/>
      <x:c r="G16" s="22"/>
      <x:c r="H16" s="14"/>
      <x:c r="I16" s="14"/>
      <x:c r="J16" s="14"/>
      <x:c r="K16" s="15" t="str">
        <x:f>IF(A16="","",IF(COUNT(H16:J16)&lt;3,"Missing input",SUM(H16:J16)))</x:f>
      </x:c>
    </x:row>
    <x:row r="17" ht="23" customHeight="1">
      <x:c r="A17" s="22"/>
      <x:c r="B17" s="22"/>
      <x:c r="C17" s="22"/>
      <x:c r="D17" s="23"/>
      <x:c r="E17" s="22"/>
      <x:c r="F17" s="22"/>
      <x:c r="G17" s="22"/>
      <x:c r="H17" s="14"/>
      <x:c r="I17" s="14"/>
      <x:c r="J17" s="14"/>
      <x:c r="K17" s="15" t="str">
        <x:f>IF(A17="","",IF(COUNT(H17:J17)&lt;3,"Missing input",SUM(H17:J17)))</x:f>
      </x:c>
    </x:row>
    <x:row r="18" ht="23" customHeight="1">
      <x:c r="A18" s="22"/>
      <x:c r="B18" s="22"/>
      <x:c r="C18" s="22"/>
      <x:c r="D18" s="23"/>
      <x:c r="E18" s="22"/>
      <x:c r="F18" s="22"/>
      <x:c r="G18" s="22"/>
      <x:c r="H18" s="14"/>
      <x:c r="I18" s="14"/>
      <x:c r="J18" s="14"/>
      <x:c r="K18" s="15" t="str">
        <x:f>IF(A18="","",IF(COUNT(H18:J18)&lt;3,"Missing input",SUM(H18:J18)))</x:f>
      </x:c>
    </x:row>
    <x:row r="19" ht="23" customHeight="1">
      <x:c r="A19" s="22"/>
      <x:c r="B19" s="22"/>
      <x:c r="C19" s="22"/>
      <x:c r="D19" s="23"/>
      <x:c r="E19" s="22"/>
      <x:c r="F19" s="22"/>
      <x:c r="G19" s="22"/>
      <x:c r="H19" s="14"/>
      <x:c r="I19" s="14"/>
      <x:c r="J19" s="14"/>
      <x:c r="K19" s="15" t="str">
        <x:f>IF(A19="","",IF(COUNT(H19:J19)&lt;3,"Missing input",SUM(H19:J19)))</x:f>
      </x:c>
    </x:row>
    <x:row r="20" ht="23" customHeight="1">
      <x:c r="A20" s="22"/>
      <x:c r="B20" s="22"/>
      <x:c r="C20" s="22"/>
      <x:c r="D20" s="23"/>
      <x:c r="E20" s="22"/>
      <x:c r="F20" s="22"/>
      <x:c r="G20" s="22"/>
      <x:c r="H20" s="14"/>
      <x:c r="I20" s="14"/>
      <x:c r="J20" s="14"/>
      <x:c r="K20" s="15" t="str">
        <x:f>IF(A20="","",IF(COUNT(H20:J20)&lt;3,"Missing input",SUM(H20:J20)))</x:f>
      </x:c>
    </x:row>
    <x:row r="21" ht="23" customHeight="1">
      <x:c r="A21" s="2"/>
      <x:c r="B21" s="2"/>
      <x:c r="C21" s="2"/>
      <x:c r="D21" s="2"/>
      <x:c r="E21" s="2"/>
      <x:c r="F21" s="2"/>
      <x:c r="G21" s="2"/>
      <x:c r="H21" s="15"/>
      <x:c r="I21" s="15"/>
      <x:c r="J21" s="15"/>
      <x:c r="K21" s="15"/>
    </x:row>
    <x:row r="22" ht="23" customHeight="1">
      <x:c r="A22" s="2"/>
      <x:c r="B22" s="2"/>
      <x:c r="C22" s="2"/>
      <x:c r="D22" s="2"/>
      <x:c r="E22" s="2"/>
      <x:c r="F22" s="2"/>
      <x:c r="G22" s="17" t="str">
        <x:v>Total</x:v>
      </x:c>
      <x:c r="H22" s="18" t="n">
        <x:f>IF(COUNT(H8:H20)&lt;&gt;COUNTA($A$8:$A$20),"Missing input",SUM(H8:H20))</x:f>
        <x:v>106000</x:v>
      </x:c>
      <x:c r="I22" s="18" t="n">
        <x:f>IF(COUNT(I8:I20)&lt;&gt;COUNTA($A$8:$A$20),"Missing input",SUM(I8:I20))</x:f>
        <x:v>11000</x:v>
      </x:c>
      <x:c r="J22" s="18" t="n">
        <x:f>IF(COUNT(J8:J20)&lt;&gt;COUNTA($A$8:$A$20),"Missing input",SUM(J8:J20))</x:f>
        <x:v>13000</x:v>
      </x:c>
      <x:c r="K22" s="18" t="n">
        <x:f>IF(COUNT(K8:K20)&lt;&gt;COUNTA($A$8:$A$20),"Missing input",SUM(K8:K20))</x:f>
        <x:v>130000</x:v>
      </x:c>
    </x:row>
    <x:row r="23" ht="23" customHeight="1">
      <x:c r="A23" s="2" t="str">
        <x:v>Own direct costs exclude indirect costs and amounts provided to subrecipients. No double counting.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3" customHeight="1">
      <x:c r="A24" s="2" t="str">
        <x:v>Add program/cluster totals and required notes before final SEFA. Special assistance needs separate workpapers.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3" customHeight="1">
      <x:c r="A25" s="2" t="str">
        <x:v>Source: synthetic data. https://www.ecfr.gov/current/title-2/section-200.510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</x:sheetData>
  <x:conditionalFormatting sqref="K8:K22">
    <x:cfRule type="containsText" dxfId="6" priority="1" operator="containsText" text="Missing input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</x:cols>
  <x:sheetData>
    <x:row r="1" ht="23" customHeight="1">
      <x:c r="A1" s="2"/>
      <x:c r="B1" s="2"/>
      <x:c r="C1" s="2"/>
      <x:c r="D1" s="2"/>
      <x:c r="E1" s="2"/>
    </x:row>
    <x:row r="2" ht="23" customHeight="1">
      <x:c r="A2" s="3" t="str">
        <x:v>Shared direct cost allocation</x:v>
      </x:c>
      <x:c r="B2" s="2"/>
      <x:c r="C2" s="2"/>
      <x:c r="D2" s="2"/>
      <x:c r="E2" s="2"/>
    </x:row>
    <x:row r="3" ht="23" customHeight="1">
      <x:c r="A3" s="4"/>
      <x:c r="B3" s="4"/>
      <x:c r="C3" s="4"/>
      <x:c r="D3" s="4"/>
      <x:c r="E3" s="4"/>
    </x:row>
    <x:row r="4" ht="23" customHeight="1">
      <x:c r="A4" s="2" t="str">
        <x:v>Cost pool (USD)</x:v>
      </x:c>
      <x:c r="B4" s="14" t="n">
        <x:v>12000</x:v>
      </x:c>
      <x:c r="C4" s="2"/>
      <x:c r="D4" s="2"/>
      <x:c r="E4" s="2"/>
    </x:row>
    <x:row r="5" ht="23" customHeight="1">
      <x:c r="A5" s="2" t="str">
        <x:v>Allocation basis</x:v>
      </x:c>
      <x:c r="B5" s="6" t="str">
        <x:v>Documented equipment-use hours</x:v>
      </x:c>
      <x:c r="C5" s="2"/>
      <x:c r="D5" s="2"/>
      <x:c r="E5" s="2"/>
    </x:row>
    <x:row r="6" ht="23" customHeight="1">
      <x:c r="A6" s="2" t="str">
        <x:v>Cost period</x:v>
      </x:c>
      <x:c r="B6" s="6" t="str">
        <x:v>September 2026</x:v>
      </x:c>
      <x:c r="C6" s="2"/>
      <x:c r="D6" s="2"/>
      <x:c r="E6" s="2"/>
    </x:row>
    <x:row r="7" ht="23" customHeight="1">
      <x:c r="A7" s="2"/>
      <x:c r="B7" s="2"/>
      <x:c r="C7" s="2"/>
      <x:c r="D7" s="2"/>
      <x:c r="E7" s="2"/>
    </x:row>
    <x:row r="8" ht="44" customHeight="1">
      <x:c r="A8" s="11" t="str">
        <x:v>Benefiting activity</x:v>
      </x:c>
      <x:c r="B8" s="11" t="str">
        <x:v>Measured units</x:v>
      </x:c>
      <x:c r="C8" s="11" t="str">
        <x:v>Share</x:v>
      </x:c>
      <x:c r="D8" s="11" t="str">
        <x:v>Allocated cost</x:v>
      </x:c>
      <x:c r="E8" s="11" t="str">
        <x:v>Evidence reference</x:v>
      </x:c>
    </x:row>
    <x:row r="9" ht="23" customHeight="1">
      <x:c r="A9" s="6" t="str">
        <x:v>SYN-001</x:v>
      </x:c>
      <x:c r="B9" s="6" t="n">
        <x:v>60</x:v>
      </x:c>
      <x:c r="C9" s="16" t="n">
        <x:f>IF(A9="","",IF(OR(COUNT($B$9:$B$15)&lt;&gt;COUNTA($A$9:$A$15),COUNT(B9)&lt;&gt;1,MIN($B$9:$B$15)&lt;0,SUM($B$9:$B$15)&lt;=0),"Review units",B9/SUM($B$9:$B$15)))</x:f>
        <x:v>0.6</x:v>
      </x:c>
      <x:c r="D9" s="15" t="n">
        <x:f>IF(A9="","",IF(OR(COUNT($B$4)&lt;&gt;1,COUNT(C9)&lt;&gt;1,$B$4&lt;0),"Review input",ROUND($B$4*C9,2)))</x:f>
        <x:v>7200</x:v>
      </x:c>
      <x:c r="E9" s="6" t="str">
        <x:v>Synthetic usage log A</x:v>
      </x:c>
    </x:row>
    <x:row r="10" ht="23" customHeight="1">
      <x:c r="A10" s="6" t="str">
        <x:v>SYN-002</x:v>
      </x:c>
      <x:c r="B10" s="6" t="n">
        <x:v>30</x:v>
      </x:c>
      <x:c r="C10" s="16" t="n">
        <x:f>IF(A10="","",IF(OR(COUNT($B$9:$B$15)&lt;&gt;COUNTA($A$9:$A$15),COUNT(B10)&lt;&gt;1,MIN($B$9:$B$15)&lt;0,SUM($B$9:$B$15)&lt;=0),"Review units",B10/SUM($B$9:$B$15)))</x:f>
        <x:v>0.3</x:v>
      </x:c>
      <x:c r="D10" s="15" t="n">
        <x:f>IF(A10="","",IF(OR(COUNT($B$4)&lt;&gt;1,COUNT(C10)&lt;&gt;1,$B$4&lt;0),"Review input",ROUND($B$4*C10,2)))</x:f>
        <x:v>3600</x:v>
      </x:c>
      <x:c r="E10" s="6" t="str">
        <x:v>Synthetic usage log B</x:v>
      </x:c>
    </x:row>
    <x:row r="11" ht="23" customHeight="1">
      <x:c r="A11" s="6" t="str">
        <x:v>Nonfederal activity</x:v>
      </x:c>
      <x:c r="B11" s="6" t="n">
        <x:v>10</x:v>
      </x:c>
      <x:c r="C11" s="16" t="n">
        <x:f>IF(A11="","",IF(OR(COUNT($B$9:$B$15)&lt;&gt;COUNTA($A$9:$A$15),COUNT(B11)&lt;&gt;1,MIN($B$9:$B$15)&lt;0,SUM($B$9:$B$15)&lt;=0),"Review units",B11/SUM($B$9:$B$15)))</x:f>
        <x:v>0.1</x:v>
      </x:c>
      <x:c r="D11" s="15" t="n">
        <x:f>IF(A11="","",IF(OR(COUNT($B$4)&lt;&gt;1,COUNT(C11)&lt;&gt;1,$B$4&lt;0),"Review input",ROUND($B$4*C11,2)))</x:f>
        <x:v>1200</x:v>
      </x:c>
      <x:c r="E11" s="6" t="str">
        <x:v>Synthetic usage log C</x:v>
      </x:c>
    </x:row>
    <x:row r="12" ht="23" customHeight="1">
      <x:c r="A12" s="6"/>
      <x:c r="B12" s="6"/>
      <x:c r="C12" s="16" t="str">
        <x:f>IF(A12="","",IF(OR(COUNT($B$9:$B$15)&lt;&gt;COUNTA($A$9:$A$15),COUNT(B12)&lt;&gt;1,MIN($B$9:$B$15)&lt;0,SUM($B$9:$B$15)&lt;=0),"Review units",B12/SUM($B$9:$B$15)))</x:f>
      </x:c>
      <x:c r="D12" s="15" t="str">
        <x:f>IF(A12="","",IF(OR(COUNT($B$4)&lt;&gt;1,COUNT(C12)&lt;&gt;1,$B$4&lt;0),"Review input",ROUND($B$4*C12,2)))</x:f>
      </x:c>
      <x:c r="E12" s="6"/>
    </x:row>
    <x:row r="13" ht="23" customHeight="1">
      <x:c r="A13" s="6"/>
      <x:c r="B13" s="6"/>
      <x:c r="C13" s="16" t="str">
        <x:f>IF(A13="","",IF(OR(COUNT($B$9:$B$15)&lt;&gt;COUNTA($A$9:$A$15),COUNT(B13)&lt;&gt;1,MIN($B$9:$B$15)&lt;0,SUM($B$9:$B$15)&lt;=0),"Review units",B13/SUM($B$9:$B$15)))</x:f>
      </x:c>
      <x:c r="D13" s="15" t="str">
        <x:f>IF(A13="","",IF(OR(COUNT($B$4)&lt;&gt;1,COUNT(C13)&lt;&gt;1,$B$4&lt;0),"Review input",ROUND($B$4*C13,2)))</x:f>
      </x:c>
      <x:c r="E13" s="6"/>
    </x:row>
    <x:row r="14" ht="23" customHeight="1">
      <x:c r="A14" s="6"/>
      <x:c r="B14" s="6"/>
      <x:c r="C14" s="16" t="str">
        <x:f>IF(A14="","",IF(OR(COUNT($B$9:$B$15)&lt;&gt;COUNTA($A$9:$A$15),COUNT(B14)&lt;&gt;1,MIN($B$9:$B$15)&lt;0,SUM($B$9:$B$15)&lt;=0),"Review units",B14/SUM($B$9:$B$15)))</x:f>
      </x:c>
      <x:c r="D14" s="15" t="str">
        <x:f>IF(A14="","",IF(OR(COUNT($B$4)&lt;&gt;1,COUNT(C14)&lt;&gt;1,$B$4&lt;0),"Review input",ROUND($B$4*C14,2)))</x:f>
      </x:c>
      <x:c r="E14" s="6"/>
    </x:row>
    <x:row r="15" ht="23" customHeight="1">
      <x:c r="A15" s="6"/>
      <x:c r="B15" s="6"/>
      <x:c r="C15" s="16" t="str">
        <x:f>IF(A15="","",IF(OR(COUNT($B$9:$B$15)&lt;&gt;COUNTA($A$9:$A$15),COUNT(B15)&lt;&gt;1,MIN($B$9:$B$15)&lt;0,SUM($B$9:$B$15)&lt;=0),"Review units",B15/SUM($B$9:$B$15)))</x:f>
      </x:c>
      <x:c r="D15" s="15" t="str">
        <x:f>IF(A15="","",IF(OR(COUNT($B$4)&lt;&gt;1,COUNT(C15)&lt;&gt;1,$B$4&lt;0),"Review input",ROUND($B$4*C15,2)))</x:f>
      </x:c>
      <x:c r="E15" s="6"/>
    </x:row>
    <x:row r="16" ht="23" customHeight="1">
      <x:c r="A16" s="2" t="str">
        <x:v>Total</x:v>
      </x:c>
      <x:c r="B16" s="2" t="n">
        <x:f>IF(COUNT(B9:B15)&lt;&gt;COUNTA(A9:A15),"Missing input",SUM(B9:B15))</x:f>
        <x:v>100</x:v>
      </x:c>
      <x:c r="C16" s="16" t="n">
        <x:f>IF(COUNT(C9:C15)&lt;&gt;COUNTA(A9:A15),"Review units",SUM(C9:C15))</x:f>
        <x:v>0.9999999999999999</x:v>
      </x:c>
      <x:c r="D16" s="15" t="n">
        <x:f>IF(COUNT(D9:D15)&lt;&gt;COUNTA(A9:A15),"Review input",SUM(D9:D15))</x:f>
        <x:v>12000</x:v>
      </x:c>
      <x:c r="E16" s="2"/>
    </x:row>
    <x:row r="17" ht="23" customHeight="1">
      <x:c r="A17" s="2"/>
      <x:c r="B17" s="2"/>
      <x:c r="C17" s="2"/>
      <x:c r="D17" s="15"/>
      <x:c r="E17" s="2"/>
    </x:row>
    <x:row r="18" ht="23" customHeight="1">
      <x:c r="A18" s="2" t="str">
        <x:v>Rounding difference</x:v>
      </x:c>
      <x:c r="B18" s="2"/>
      <x:c r="C18" s="2"/>
      <x:c r="D18" s="15" t="n">
        <x:f>IF(COUNT(B4,D16)&lt;2,"Review input",B4-D16)</x:f>
        <x:v>0</x:v>
      </x:c>
      <x:c r="E18" s="2"/>
    </x:row>
    <x:row r="19" ht="23" customHeight="1">
      <x:c r="A19" s="2"/>
      <x:c r="B19" s="2"/>
      <x:c r="C19" s="2"/>
      <x:c r="D19" s="2"/>
      <x:c r="E19" s="2"/>
    </x:row>
    <x:row r="20" ht="23" customHeight="1">
      <x:c r="A20" s="2" t="str">
        <x:v>Include all benefiting activities. This is a shared direct cost illustration, not an indirect rate model.</x:v>
      </x:c>
      <x:c r="B20" s="2"/>
      <x:c r="C20" s="2"/>
      <x:c r="D20" s="2"/>
      <x:c r="E20" s="2"/>
    </x:row>
    <x:row r="21" ht="23" customHeight="1">
      <x:c r="A21" s="2" t="str">
        <x:v>Resolve any rounding difference using a documented adjustment. Confirm allowability before posting.</x:v>
      </x:c>
      <x:c r="B21" s="2"/>
      <x:c r="C21" s="2"/>
      <x:c r="D21" s="2"/>
      <x:c r="E21" s="2"/>
    </x:row>
    <x:row r="22" ht="23" customHeight="1">
      <x:c r="A22" s="2" t="str">
        <x:v>Source: synthetic data. https://www.ecfr.gov/current/title-2/section-200.405</x:v>
      </x:c>
      <x:c r="B22" s="2"/>
      <x:c r="C22" s="2"/>
      <x:c r="D22" s="2"/>
      <x:c r="E22" s="2"/>
    </x:row>
  </x:sheetData>
  <x:conditionalFormatting sqref="D18:D18">
    <x:cfRule type="expression" dxfId="7" priority="1">
      <x:formula>ABS(D18)&gt;0.005</x:formula>
    </x:cfRule>
  </x:conditionalFormatting>
  <x:conditionalFormatting sqref="C9:D18">
    <x:cfRule type="containsText" dxfId="8" priority="2" operator="containsText" text="Review"/>
  </x:conditionalFormatting>
  <x:conditionalFormatting sqref="B16:B16">
    <x:cfRule type="containsText" dxfId="9" priority="3" operator="containsText" text="Missing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Using the financial starter workbook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/>
      <x:c r="B3" s="4"/>
      <x:c r="C3" s="4"/>
      <x:c r="D3" s="4"/>
      <x:c r="E3" s="4"/>
      <x:c r="F3" s="4"/>
      <x:c r="G3" s="4"/>
      <x:c r="H3" s="4"/>
    </x:row>
    <x:row r="4" ht="32" customHeight="1">
      <x:c r="A4" s="17" t="str">
        <x:v>Purpose</x:v>
      </x:c>
      <x:c r="B4" s="24" t="str">
        <x:v>Editable supporting schedules for federal award financial management.</x:v>
      </x:c>
      <x:c r="C4" s="2"/>
      <x:c r="D4" s="2"/>
      <x:c r="E4" s="2"/>
      <x:c r="F4" s="2"/>
      <x:c r="G4" s="2"/>
      <x:c r="H4" s="2"/>
    </x:row>
    <x:row r="5" ht="32" customHeight="1">
      <x:c r="A5" s="17" t="str">
        <x:v>Status</x:v>
      </x:c>
      <x:c r="B5" s="24" t="str">
        <x:v>Development materials. Practitioner review and operational validation remain pending.</x:v>
      </x:c>
      <x:c r="C5" s="2"/>
      <x:c r="D5" s="2"/>
      <x:c r="E5" s="2"/>
      <x:c r="F5" s="2"/>
      <x:c r="G5" s="2"/>
      <x:c r="H5" s="2"/>
    </x:row>
    <x:row r="6" ht="32" customHeight="1">
      <x:c r="A6" s="17" t="str">
        <x:v>Project lead</x:v>
      </x:c>
      <x:c r="B6" s="24" t="str">
        <x:v>David Amoah Oduro</x:v>
      </x:c>
      <x:c r="C6" s="2"/>
      <x:c r="D6" s="2"/>
      <x:c r="E6" s="2"/>
      <x:c r="F6" s="2"/>
      <x:c r="G6" s="2"/>
      <x:c r="H6" s="2"/>
    </x:row>
    <x:row r="7" ht="32" customHeight="1">
      <x:c r="A7" s="17" t="str">
        <x:v>Data</x:v>
      </x:c>
      <x:c r="B7" s="24" t="str">
        <x:v>All seeded identifiers, awards, organizations, and amounts are synthetic.</x:v>
      </x:c>
      <x:c r="C7" s="2"/>
      <x:c r="D7" s="2"/>
      <x:c r="E7" s="2"/>
      <x:c r="F7" s="2"/>
      <x:c r="G7" s="2"/>
      <x:c r="H7" s="2"/>
    </x:row>
    <x:row r="8" ht="32" customHeight="1">
      <x:c r="A8" s="17" t="str">
        <x:v>Inputs</x:v>
      </x:c>
      <x:c r="B8" s="24" t="str">
        <x:v>Blue text and pale yellow fill. Formula cells remain editable, so retain an original copy.</x:v>
      </x:c>
      <x:c r="C8" s="2"/>
      <x:c r="D8" s="2"/>
      <x:c r="E8" s="2"/>
      <x:c r="F8" s="2"/>
      <x:c r="G8" s="2"/>
      <x:c r="H8" s="2"/>
    </x:row>
    <x:row r="9" ht="32" customHeight="1">
      <x:c r="A9" s="17" t="str">
        <x:v>Worksheets</x:v>
      </x:c>
      <x:c r="B9" s="24" t="str">
        <x:v>Independent supporting schedules. They do not automatically consolidate a transaction ledger.</x:v>
      </x:c>
      <x:c r="C9" s="2"/>
      <x:c r="D9" s="2"/>
      <x:c r="E9" s="2"/>
      <x:c r="F9" s="2"/>
      <x:c r="G9" s="2"/>
      <x:c r="H9" s="2"/>
    </x:row>
    <x:row r="10" ht="32" customHeight="1">
      <x:c r="A10" s="17" t="str">
        <x:v>Budget review</x:v>
      </x:c>
      <x:c r="B10" s="24" t="str">
        <x:v>One federal-share budget period. Actuals, obligations, and forecast must use matching scope.</x:v>
      </x:c>
      <x:c r="C10" s="2"/>
      <x:c r="D10" s="2"/>
      <x:c r="E10" s="2"/>
      <x:c r="F10" s="2"/>
      <x:c r="G10" s="2"/>
      <x:c r="H10" s="2"/>
    </x:row>
    <x:row r="11" ht="32" customHeight="1">
      <x:c r="A11" s="17" t="str">
        <x:v>Forecast</x:v>
      </x:c>
      <x:c r="B11" s="24" t="str">
        <x:v>Uncommitted future costs exclude open obligations. Forecast total includes both.</x:v>
      </x:c>
      <x:c r="C11" s="2"/>
      <x:c r="D11" s="2"/>
      <x:c r="E11" s="2"/>
      <x:c r="F11" s="2"/>
      <x:c r="G11" s="2"/>
      <x:c r="H11" s="2"/>
    </x:row>
    <x:row r="12" ht="32" customHeight="1">
      <x:c r="A12" s="17" t="str">
        <x:v>Portfolio</x:v>
      </x:c>
      <x:c r="B12" s="24" t="str">
        <x:v>15 award rows, 8 through 22. Add more by extending every formula and total range.</x:v>
      </x:c>
      <x:c r="C12" s="2"/>
      <x:c r="D12" s="2"/>
      <x:c r="E12" s="2"/>
      <x:c r="F12" s="2"/>
      <x:c r="G12" s="2"/>
      <x:c r="H12" s="2"/>
    </x:row>
    <x:row r="13" ht="32" customHeight="1">
      <x:c r="A13" s="17" t="str">
        <x:v>Award metadata</x:v>
      </x:c>
      <x:c r="B13" s="24" t="str">
        <x:v>Use award-register.md for agency, ALN, FAIN, dates, approvals, and source documents.</x:v>
      </x:c>
      <x:c r="C13" s="2"/>
      <x:c r="D13" s="2"/>
      <x:c r="E13" s="2"/>
      <x:c r="F13" s="2"/>
      <x:c r="G13" s="2"/>
      <x:c r="H13" s="2"/>
    </x:row>
    <x:row r="14" ht="32" customHeight="1">
      <x:c r="A14" s="17" t="str">
        <x:v>SEFA preparation</x:v>
      </x:c>
      <x:c r="B14" s="24" t="str">
        <x:v>13 award rows, 8 through 20. Use expenditures for the stated fiscal period.</x:v>
      </x:c>
      <x:c r="C14" s="2"/>
      <x:c r="D14" s="2"/>
      <x:c r="E14" s="2"/>
      <x:c r="F14" s="2"/>
      <x:c r="G14" s="2"/>
      <x:c r="H14" s="2"/>
    </x:row>
    <x:row r="15" ht="32" customHeight="1">
      <x:c r="A15" s="17" t="str">
        <x:v>SEFA grouping</x:v>
      </x:c>
      <x:c r="B15" s="24" t="str">
        <x:v>Prepare program and cluster subtotals and accounting-policy notes separately.</x:v>
      </x:c>
      <x:c r="C15" s="2"/>
      <x:c r="D15" s="2"/>
      <x:c r="E15" s="2"/>
      <x:c r="F15" s="2"/>
      <x:c r="G15" s="2"/>
      <x:c r="H15" s="2"/>
    </x:row>
    <x:row r="16" ht="32" customHeight="1">
      <x:c r="A16" s="17" t="str">
        <x:v>Special assistance</x:v>
      </x:c>
      <x:c r="B16" s="24" t="str">
        <x:v>Loans, noncash assistance, insurance, and other special cases require separate workpapers.</x:v>
      </x:c>
      <x:c r="C16" s="2"/>
      <x:c r="D16" s="2"/>
      <x:c r="E16" s="2"/>
      <x:c r="F16" s="2"/>
      <x:c r="G16" s="2"/>
      <x:c r="H16" s="2"/>
    </x:row>
    <x:row r="17" ht="32" customHeight="1">
      <x:c r="A17" s="17" t="str">
        <x:v>Cost allocation</x:v>
      </x:c>
      <x:c r="B17" s="24" t="str">
        <x:v>7 benefiting-activity rows, 9 through 15. Include federal and nonfederal beneficiaries.</x:v>
      </x:c>
      <x:c r="C17" s="2"/>
      <x:c r="D17" s="2"/>
      <x:c r="E17" s="2"/>
      <x:c r="F17" s="2"/>
      <x:c r="G17" s="2"/>
      <x:c r="H17" s="2"/>
    </x:row>
    <x:row r="18" ht="32" customHeight="1">
      <x:c r="A18" s="17" t="str">
        <x:v>Blank inputs</x:v>
      </x:c>
      <x:c r="B18" s="24" t="str">
        <x:v>Enter explicit zero when appropriate. Missing amounts produce review messages.</x:v>
      </x:c>
      <x:c r="C18" s="2"/>
      <x:c r="D18" s="2"/>
      <x:c r="E18" s="2"/>
      <x:c r="F18" s="2"/>
      <x:c r="G18" s="2"/>
      <x:c r="H18" s="2"/>
    </x:row>
    <x:row r="19" ht="32" customHeight="1">
      <x:c r="A19" s="17" t="str">
        <x:v>Amounts</x:v>
      </x:c>
      <x:c r="B19" s="24" t="str">
        <x:v>USD. Do not mix cost share, pending funding, cash draws, and federal expenditures.</x:v>
      </x:c>
      <x:c r="C19" s="2"/>
      <x:c r="D19" s="2"/>
      <x:c r="E19" s="2"/>
      <x:c r="F19" s="2"/>
      <x:c r="G19" s="2"/>
      <x:c r="H19" s="2"/>
    </x:row>
    <x:row r="20" ht="32" customHeight="1">
      <x:c r="A20" s="17" t="str">
        <x:v>Negative balances</x:v>
      </x:c>
      <x:c r="B20" s="24" t="str">
        <x:v>Finance review prompts, not automatic compliance decisions.</x:v>
      </x:c>
      <x:c r="C20" s="2"/>
      <x:c r="D20" s="2"/>
      <x:c r="E20" s="2"/>
      <x:c r="F20" s="2"/>
      <x:c r="G20" s="2"/>
      <x:c r="H20" s="2"/>
    </x:row>
    <x:row r="21" ht="32" customHeight="1">
      <x:c r="A21" s="17" t="str">
        <x:v>Before use</x:v>
      </x:c>
      <x:c r="B21" s="24" t="str">
        <x:v>Replace all synthetic inputs. Reconcile to source records and record reviewer approval.</x:v>
      </x:c>
      <x:c r="C21" s="2"/>
      <x:c r="D21" s="2"/>
      <x:c r="E21" s="2"/>
      <x:c r="F21" s="2"/>
      <x:c r="G21" s="2"/>
      <x:c r="H21" s="2"/>
    </x:row>
    <x:row r="22" ht="32" customHeight="1">
      <x:c r="A22" s="17" t="str">
        <x:v>License</x:v>
      </x:c>
      <x:c r="B22" s="24" t="str">
        <x:v>CC BY 4.0. Retain author credit and indicate modifications when sharing.</x:v>
      </x:c>
      <x:c r="C22" s="2"/>
      <x:c r="D22" s="2"/>
      <x:c r="E22" s="2"/>
      <x:c r="F22" s="2"/>
      <x:c r="G22" s="2"/>
      <x:c r="H22" s="2"/>
    </x:row>
    <x:row r="23" ht="32" customHeight="1">
      <x:c r="A23" s="17" t="str">
        <x:v>Repository</x:v>
      </x:c>
      <x:c r="B23" s="24" t="str">
        <x:v>https://github.com/damoahdao-cyber/federal-grant-compliance-framework</x:v>
      </x:c>
      <x:c r="C23" s="2"/>
      <x:c r="D23" s="2"/>
      <x:c r="E23" s="2"/>
      <x:c r="F23" s="2"/>
      <x:c r="G23" s="2"/>
      <x:c r="H23" s="2"/>
    </x:row>
    <x:row r="24" ht="32" customHeight="1">
      <x:c r="A24" s="17" t="str">
        <x:v>Source review</x:v>
      </x:c>
      <x:c r="B24" s="24" t="str">
        <x:v>eCFR pages reviewed September 30, 2026. Displayed current through September 25, 2026.</x:v>
      </x:c>
      <x:c r="C24" s="2"/>
      <x:c r="D24" s="2"/>
      <x:c r="E24" s="2"/>
      <x:c r="F24" s="2"/>
      <x:c r="G24" s="2"/>
      <x:c r="H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</x:sheetData>
  <x:pageMargins left="0.7" right="0.7" top="0.75" bottom="0.75" header="0.3" footer="0.3"/>
</x:worksheet>
</file>